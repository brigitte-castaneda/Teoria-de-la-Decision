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gittecastaneda/Downloads/"/>
    </mc:Choice>
  </mc:AlternateContent>
  <xr:revisionPtr revIDLastSave="0" documentId="13_ncr:1_{E44D414E-FF7F-2A44-A74C-C136B70A71AC}" xr6:coauthVersionLast="47" xr6:coauthVersionMax="47" xr10:uidLastSave="{00000000-0000-0000-0000-000000000000}"/>
  <bookViews>
    <workbookView xWindow="46880" yWindow="2600" windowWidth="38400" windowHeight="22260" activeTab="1" xr2:uid="{94085B97-048D-4BF0-B8F1-342AB77EA023}"/>
  </bookViews>
  <sheets>
    <sheet name="Punto Cx" sheetId="1" r:id="rId1"/>
    <sheet name="Proyectos ABC" sheetId="2" r:id="rId2"/>
  </sheets>
  <definedNames>
    <definedName name="solver_adj" localSheetId="0" hidden="1">'Punto Cx'!$A$17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'Punto Cx'!$B$17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3.2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9" i="1"/>
  <c r="B4" i="1"/>
  <c r="C4" i="2"/>
  <c r="D4" i="2"/>
  <c r="E4" i="2"/>
  <c r="C5" i="2"/>
  <c r="D5" i="2"/>
  <c r="E5" i="2"/>
  <c r="C6" i="2"/>
  <c r="D6" i="2"/>
  <c r="E6" i="2"/>
  <c r="B14" i="1"/>
  <c r="B13" i="1"/>
  <c r="B12" i="1"/>
  <c r="B11" i="1"/>
  <c r="B10" i="1"/>
  <c r="B8" i="1"/>
  <c r="B7" i="1"/>
  <c r="B6" i="1"/>
  <c r="B5" i="1"/>
</calcChain>
</file>

<file path=xl/sharedStrings.xml><?xml version="1.0" encoding="utf-8"?>
<sst xmlns="http://schemas.openxmlformats.org/spreadsheetml/2006/main" count="9" uniqueCount="9">
  <si>
    <t>RT (Millones)</t>
  </si>
  <si>
    <t>Cx</t>
  </si>
  <si>
    <t>C_x (RT=$250)</t>
  </si>
  <si>
    <t>C_x (RT=$120)</t>
  </si>
  <si>
    <t>E[VPN]</t>
  </si>
  <si>
    <t>RT</t>
  </si>
  <si>
    <t>Proyecto C</t>
  </si>
  <si>
    <t>Proyecto B</t>
  </si>
  <si>
    <t>Proyecto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</si>
</sst>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3" fillId="0" borderId="4" xfId="0" applyFont="1" applyBorder="1"/>
    <xf numFmtId="0" fontId="4" fillId="0" borderId="5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3" fillId="0" borderId="7" xfId="0" applyFont="1" applyBorder="1"/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1</xdr:row>
      <xdr:rowOff>62004</xdr:rowOff>
    </xdr:from>
    <xdr:ext cx="5783580" cy="1192443"/>
    <xdr:pic>
      <xdr:nvPicPr>
        <xdr:cNvPr id="2" name="Imagen 1">
          <a:extLst>
            <a:ext uri="{FF2B5EF4-FFF2-40B4-BE49-F238E27FC236}">
              <a16:creationId xmlns:a16="http://schemas.microsoft.com/office/drawing/2014/main" id="{EECCDD59-50A1-44B0-A097-7DEDB54BD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67" t="6413"/>
        <a:stretch/>
      </xdr:blipFill>
      <xdr:spPr>
        <a:xfrm>
          <a:off x="4914900" y="246154"/>
          <a:ext cx="5783580" cy="1192443"/>
        </a:xfrm>
        <a:prstGeom prst="rect">
          <a:avLst/>
        </a:prstGeom>
      </xdr:spPr>
    </xdr:pic>
    <xdr:clientData/>
  </xdr:oneCellAnchor>
  <xdr:twoCellAnchor>
    <xdr:from>
      <xdr:col>1</xdr:col>
      <xdr:colOff>304800</xdr:colOff>
      <xdr:row>6</xdr:row>
      <xdr:rowOff>60960</xdr:rowOff>
    </xdr:from>
    <xdr:to>
      <xdr:col>3</xdr:col>
      <xdr:colOff>477610</xdr:colOff>
      <xdr:row>10</xdr:row>
      <xdr:rowOff>85673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16">
              <a:extLst>
                <a:ext uri="{FF2B5EF4-FFF2-40B4-BE49-F238E27FC236}">
                  <a16:creationId xmlns:a16="http://schemas.microsoft.com/office/drawing/2014/main" id="{198DFAA3-95A5-450B-8F36-9E7CE296DF2C}"/>
                </a:ext>
              </a:extLst>
            </xdr:cNvPr>
            <xdr:cNvSpPr txBox="1"/>
          </xdr:nvSpPr>
          <xdr:spPr>
            <a:xfrm>
              <a:off x="1066800" y="1165860"/>
              <a:ext cx="1696810" cy="76131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CO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CO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s-CO" b="0" i="1">
                        <a:latin typeface="Cambria Math" panose="02040503050406030204" pitchFamily="18" charset="0"/>
                      </a:rPr>
                      <m:t>=−</m:t>
                    </m:r>
                    <m:r>
                      <a:rPr lang="es-CO" b="0" i="1">
                        <a:latin typeface="Cambria Math" panose="02040503050406030204" pitchFamily="18" charset="0"/>
                      </a:rPr>
                      <m:t>𝑅𝑇𝑙𝑛</m:t>
                    </m:r>
                    <m:d>
                      <m:dPr>
                        <m:begChr m:val="["/>
                        <m:endChr m:val="]"/>
                        <m:ctrlPr>
                          <a:rPr lang="es-CO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s-CO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CO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es-CO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sSubSup>
                              <m:sSubSupPr>
                                <m:ctrlPr>
                                  <a:rPr lang="es-CO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s-CO" b="0" i="1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e>
                              <m:sub>
                                <m:r>
                                  <a:rPr lang="es-CO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s-CO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s-CO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b="0" i="1">
                                    <a:latin typeface="Cambria Math" panose="02040503050406030204" pitchFamily="18" charset="0"/>
                                  </a:rPr>
                                  <m:t>/</m:t>
                                </m:r>
                                <m:r>
                                  <a:rPr lang="es-CO" b="0" i="1">
                                    <a:latin typeface="Cambria Math" panose="02040503050406030204" pitchFamily="18" charset="0"/>
                                  </a:rPr>
                                  <m:t>𝑅𝑇</m:t>
                                </m:r>
                              </m:sup>
                            </m:sSubSup>
                          </m:e>
                        </m:nary>
                      </m:e>
                    </m:d>
                  </m:oMath>
                </m:oMathPara>
              </a14:m>
              <a:endParaRPr lang="es-CO"/>
            </a:p>
          </xdr:txBody>
        </xdr:sp>
      </mc:Choice>
      <mc:Fallback xmlns="">
        <xdr:sp macro="" textlink="">
          <xdr:nvSpPr>
            <xdr:cNvPr id="3" name="CuadroTexto 16">
              <a:extLst>
                <a:ext uri="{FF2B5EF4-FFF2-40B4-BE49-F238E27FC236}">
                  <a16:creationId xmlns:a16="http://schemas.microsoft.com/office/drawing/2014/main" id="{198DFAA3-95A5-450B-8F36-9E7CE296DF2C}"/>
                </a:ext>
              </a:extLst>
            </xdr:cNvPr>
            <xdr:cNvSpPr txBox="1"/>
          </xdr:nvSpPr>
          <xdr:spPr>
            <a:xfrm>
              <a:off x="1066800" y="1165860"/>
              <a:ext cx="1696810" cy="76131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b="0" i="0">
                  <a:latin typeface="Cambria Math" panose="02040503050406030204" pitchFamily="18" charset="0"/>
                </a:rPr>
                <a:t>𝐶_𝑥=−𝑅𝑇𝑙𝑛[∑_(𝑖=1)^𝑛▒〖𝑝_𝑖 𝑒_𝑖^(−𝑥_𝑖/𝑅𝑇) 〗]</a:t>
              </a:r>
              <a:endParaRPr lang="es-CO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73F4-D4EF-4171-9598-E73F9F503B0E}">
  <dimension ref="A3:B17"/>
  <sheetViews>
    <sheetView zoomScale="150" zoomScaleNormal="150" workbookViewId="0">
      <selection activeCell="B17" sqref="B17"/>
    </sheetView>
  </sheetViews>
  <sheetFormatPr baseColWidth="10" defaultRowHeight="15" x14ac:dyDescent="0.2"/>
  <cols>
    <col min="1" max="1" width="13.1640625" customWidth="1"/>
    <col min="2" max="2" width="12.83203125" bestFit="1" customWidth="1"/>
  </cols>
  <sheetData>
    <row r="3" spans="1:2" x14ac:dyDescent="0.2">
      <c r="A3" s="1" t="s">
        <v>0</v>
      </c>
      <c r="B3" s="1" t="s">
        <v>1</v>
      </c>
    </row>
    <row r="4" spans="1:2" x14ac:dyDescent="0.2">
      <c r="A4" s="2">
        <v>35</v>
      </c>
      <c r="B4" s="3">
        <f>-A4*LN((0.025*EXP((-80/A4)))+((0.225*EXP(-28/A4)))+((0.075*EXP(-46/A4)))+((0.675*EXP(6/A4))))</f>
        <v>2.7280456135117328</v>
      </c>
    </row>
    <row r="5" spans="1:2" x14ac:dyDescent="0.2">
      <c r="A5" s="2">
        <v>36</v>
      </c>
      <c r="B5" s="3">
        <f t="shared" ref="B5:B14" si="0">-A5*LN((0.025*EXP((-80/A5)))+((0.225*EXP(-28/A5)))+((0.075*EXP(-46/A5)))+((0.675*EXP(6/A5))))</f>
        <v>2.8300726272618606</v>
      </c>
    </row>
    <row r="6" spans="1:2" x14ac:dyDescent="0.2">
      <c r="A6" s="2">
        <v>37</v>
      </c>
      <c r="B6" s="3">
        <f t="shared" si="0"/>
        <v>2.9281389432827249</v>
      </c>
    </row>
    <row r="7" spans="1:2" x14ac:dyDescent="0.2">
      <c r="A7" s="2">
        <v>38</v>
      </c>
      <c r="B7" s="3">
        <f t="shared" si="0"/>
        <v>3.0224611180771332</v>
      </c>
    </row>
    <row r="8" spans="1:2" x14ac:dyDescent="0.2">
      <c r="A8" s="2">
        <v>39</v>
      </c>
      <c r="B8" s="3">
        <f t="shared" si="0"/>
        <v>3.1132410890546973</v>
      </c>
    </row>
    <row r="9" spans="1:2" x14ac:dyDescent="0.2">
      <c r="A9" s="1">
        <v>40</v>
      </c>
      <c r="B9" s="4">
        <f>-A9*LN((0.025*EXP((-80/A9)))+((0.225*EXP(-28/A9)))+((0.075*EXP(-46/A9)))+((0.675*EXP(6/A9))))</f>
        <v>3.2006672847313866</v>
      </c>
    </row>
    <row r="10" spans="1:2" x14ac:dyDescent="0.2">
      <c r="A10" s="2">
        <v>41</v>
      </c>
      <c r="B10" s="3">
        <f t="shared" si="0"/>
        <v>3.2849156500860084</v>
      </c>
    </row>
    <row r="11" spans="1:2" x14ac:dyDescent="0.2">
      <c r="A11" s="2">
        <v>42</v>
      </c>
      <c r="B11" s="3">
        <f t="shared" si="0"/>
        <v>3.3661505918970276</v>
      </c>
    </row>
    <row r="12" spans="1:2" x14ac:dyDescent="0.2">
      <c r="A12" s="2">
        <v>43</v>
      </c>
      <c r="B12" s="3">
        <f t="shared" si="0"/>
        <v>3.4445258491907014</v>
      </c>
    </row>
    <row r="13" spans="1:2" x14ac:dyDescent="0.2">
      <c r="A13" s="2">
        <v>44</v>
      </c>
      <c r="B13" s="3">
        <f t="shared" si="0"/>
        <v>3.5201852940134546</v>
      </c>
    </row>
    <row r="14" spans="1:2" x14ac:dyDescent="0.2">
      <c r="A14" s="2">
        <v>45</v>
      </c>
      <c r="B14" s="3">
        <f t="shared" si="0"/>
        <v>3.5932636676697092</v>
      </c>
    </row>
    <row r="17" spans="1:2" x14ac:dyDescent="0.2">
      <c r="A17" s="20">
        <v>39.992228061755235</v>
      </c>
      <c r="B17">
        <f>-A17*LN((0.025*EXP((-80/A17)))+((0.225*EXP(-28/A17)))+((0.075*EXP(-46/A17)))+((0.675*EXP(6/A17))))</f>
        <v>3.2000002869263766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E876-84D1-41AD-A812-500DA23F6EED}">
  <dimension ref="A2:F6"/>
  <sheetViews>
    <sheetView tabSelected="1" zoomScale="170" zoomScaleNormal="170" workbookViewId="0">
      <selection activeCell="E6" sqref="E6"/>
    </sheetView>
  </sheetViews>
  <sheetFormatPr baseColWidth="10" defaultRowHeight="15" x14ac:dyDescent="0.2"/>
  <cols>
    <col min="2" max="2" width="21" customWidth="1"/>
    <col min="3" max="3" width="16.5" customWidth="1"/>
    <col min="4" max="4" width="18.5" customWidth="1"/>
    <col min="5" max="5" width="16.5" customWidth="1"/>
  </cols>
  <sheetData>
    <row r="2" spans="1:6" ht="16" thickBot="1" x14ac:dyDescent="0.25"/>
    <row r="3" spans="1:6" ht="19" x14ac:dyDescent="0.25">
      <c r="B3" s="19"/>
      <c r="C3" s="18" t="s">
        <v>8</v>
      </c>
      <c r="D3" s="18" t="s">
        <v>7</v>
      </c>
      <c r="E3" s="17" t="s">
        <v>6</v>
      </c>
      <c r="F3" s="5"/>
    </row>
    <row r="4" spans="1:6" ht="19" x14ac:dyDescent="0.25">
      <c r="A4" s="9" t="s">
        <v>5</v>
      </c>
      <c r="B4" s="13" t="s">
        <v>4</v>
      </c>
      <c r="C4" s="16">
        <f>(0.5)*50+(0.5*-20)</f>
        <v>15</v>
      </c>
      <c r="D4" s="15">
        <f>(0.5)*88+(0.5*-40)</f>
        <v>24</v>
      </c>
      <c r="E4" s="14">
        <f>(0.6)*90+(0.4*-75)</f>
        <v>24</v>
      </c>
      <c r="F4" s="5"/>
    </row>
    <row r="5" spans="1:6" ht="19" x14ac:dyDescent="0.25">
      <c r="A5" s="9">
        <v>120</v>
      </c>
      <c r="B5" s="13" t="s">
        <v>3</v>
      </c>
      <c r="C5" s="12">
        <f>-A5*LN((0.5*EXP(-50/A5))+(0.5*EXP(20/$A$5)))</f>
        <v>9.966601012624217</v>
      </c>
      <c r="D5" s="11">
        <f>-$A$5*LN((0.5*EXP(-88/$A$5))+(0.5*EXP(40/$A$5)))</f>
        <v>7.6859024304738846</v>
      </c>
      <c r="E5" s="10">
        <f>-$A$5*LN((0.6*EXP(-90/$A$5))+(0.4*EXP(75/$A$5)))</f>
        <v>-3.6307142410423965</v>
      </c>
      <c r="F5" s="5"/>
    </row>
    <row r="6" spans="1:6" ht="20" thickBot="1" x14ac:dyDescent="0.3">
      <c r="A6" s="9">
        <v>250</v>
      </c>
      <c r="B6" s="8" t="s">
        <v>2</v>
      </c>
      <c r="C6" s="7">
        <f>-$A$6*LN((0.5*EXP(-50/$A$6))+(0.5*EXP(20/$A$6)))</f>
        <v>12.557961749899688</v>
      </c>
      <c r="D6" s="7">
        <f>-$A$6*LN((0.5*EXP(-88/$A$6))+(0.5*EXP(40/$A$6)))</f>
        <v>15.8959451993823</v>
      </c>
      <c r="E6" s="6">
        <f>-$A$6*LN((0.6*EXP(-90/$A$6))+(0.4*EXP(75/$A$6)))</f>
        <v>10.583565951380852</v>
      </c>
      <c r="F6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Punto Cx</vt:lpstr>
      <vt:lpstr>Proyectos 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Lourdes Abrego Perez</dc:creator>
  <cp:lastModifiedBy>Brigitte Castañeda</cp:lastModifiedBy>
  <dcterms:created xsi:type="dcterms:W3CDTF">2024-08-29T14:18:16Z</dcterms:created>
  <dcterms:modified xsi:type="dcterms:W3CDTF">2026-08-26T19:54:03Z</dcterms:modified>
</cp:coreProperties>
</file>